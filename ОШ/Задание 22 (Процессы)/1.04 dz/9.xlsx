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<sst xmlns="http://schemas.openxmlformats.org/spreadsheetml/2006/main" count="7" uniqueCount="6">
  <si>
    <t xml:space="preserve">ID процесса</t>
  </si>
  <si>
    <t xml:space="preserve">Время выполнения процесса (мс)</t>
  </si>
  <si>
    <t xml:space="preserve">ID поставщиков данных</t>
  </si>
  <si>
    <t xml:space="preserve">конец</t>
  </si>
  <si>
    <t xml:space="preserve">взаимосвязи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</si>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</sst>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30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3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15.84"/>
    <col collapsed="false" customWidth="true" hidden="false" outlineLevel="0" max="3" min="3" style="1" width="14.86"/>
    <col collapsed="false" customWidth="false" hidden="false" outlineLevel="0" max="6" min="6" style="1" width="11.52"/>
  </cols>
  <sheetData>
    <row r="1" customFormat="false" ht="35.05" hidden="false" customHeight="false" outlineLevel="0" collapsed="false">
      <c r="A1" s="2" t="s">
        <v>0</v>
      </c>
      <c r="B1" s="2" t="s">
        <v>1</v>
      </c>
      <c r="C1" s="2" t="s">
        <v>2</v>
      </c>
      <c r="F1" s="2" t="s">
        <v>0</v>
      </c>
      <c r="G1" s="0" t="s">
        <v>3</v>
      </c>
      <c r="H1" s="0" t="s">
        <v>4</v>
      </c>
      <c r="J1" s="3" t="n">
        <f aca="false">COUNTIF(G2:G21, "&lt;=60")</f>
        <v>11</v>
      </c>
    </row>
    <row r="2" customFormat="false" ht="12.8" hidden="false" customHeight="false" outlineLevel="0" collapsed="false">
      <c r="A2" s="1" t="n">
        <v>1</v>
      </c>
      <c r="B2" s="1" t="n">
        <v>20</v>
      </c>
      <c r="C2" s="1" t="n">
        <v>18</v>
      </c>
      <c r="D2" s="0" t="n">
        <v>0</v>
      </c>
      <c r="F2" s="1" t="n">
        <v>1</v>
      </c>
      <c r="G2" s="0" t="n">
        <f aca="false">MAX(H2:I2) + B2</f>
        <v>54</v>
      </c>
      <c r="H2" s="0" t="n">
        <f aca="false">VLOOKUP(C2, $F:$G, 2, 0)</f>
        <v>34</v>
      </c>
      <c r="I2" s="0" t="str">
        <f aca="false">VLOOKUP(D2, $F:$G, 2, 0)</f>
        <v>-</v>
      </c>
    </row>
    <row r="3" customFormat="false" ht="12.8" hidden="false" customHeight="false" outlineLevel="0" collapsed="false">
      <c r="A3" s="1" t="n">
        <v>2</v>
      </c>
      <c r="B3" s="1" t="n">
        <v>17</v>
      </c>
      <c r="C3" s="1" t="n">
        <v>17</v>
      </c>
      <c r="D3" s="0" t="n">
        <v>18</v>
      </c>
      <c r="F3" s="1" t="n">
        <v>2</v>
      </c>
      <c r="G3" s="0" t="n">
        <f aca="false">MAX(H3:I3) + B3</f>
        <v>51</v>
      </c>
      <c r="H3" s="0" t="n">
        <f aca="false">VLOOKUP(C3, $F:$G, 2, 0)</f>
        <v>23</v>
      </c>
      <c r="I3" s="0" t="n">
        <f aca="false">VLOOKUP(D3, $F:$G, 2, 0)</f>
        <v>34</v>
      </c>
    </row>
    <row r="4" customFormat="false" ht="12.8" hidden="false" customHeight="false" outlineLevel="0" collapsed="false">
      <c r="A4" s="1" t="n">
        <v>3</v>
      </c>
      <c r="B4" s="1" t="n">
        <v>11</v>
      </c>
      <c r="C4" s="1" t="n">
        <v>15</v>
      </c>
      <c r="D4" s="0" t="n">
        <v>18</v>
      </c>
      <c r="F4" s="1" t="n">
        <v>3</v>
      </c>
      <c r="G4" s="0" t="n">
        <f aca="false">MAX(H4:I4) + B4</f>
        <v>45</v>
      </c>
      <c r="H4" s="0" t="n">
        <f aca="false">VLOOKUP(C4, $F:$G, 2, 0)</f>
        <v>28</v>
      </c>
      <c r="I4" s="0" t="n">
        <f aca="false">VLOOKUP(D4, $F:$G, 2, 0)</f>
        <v>34</v>
      </c>
    </row>
    <row r="5" customFormat="false" ht="12.8" hidden="false" customHeight="false" outlineLevel="0" collapsed="false">
      <c r="A5" s="1" t="n">
        <v>4</v>
      </c>
      <c r="B5" s="1" t="n">
        <v>27</v>
      </c>
      <c r="C5" s="1" t="n">
        <v>13</v>
      </c>
      <c r="D5" s="0" t="n">
        <v>14</v>
      </c>
      <c r="F5" s="1" t="n">
        <v>4</v>
      </c>
      <c r="G5" s="0" t="n">
        <f aca="false">MAX(H5:I5) + B5</f>
        <v>99</v>
      </c>
      <c r="H5" s="0" t="n">
        <f aca="false">VLOOKUP(C5, $F:$G, 2, 0)</f>
        <v>72</v>
      </c>
      <c r="I5" s="0" t="n">
        <f aca="false">VLOOKUP(D5, $F:$G, 2, 0)</f>
        <v>70</v>
      </c>
    </row>
    <row r="6" customFormat="false" ht="12.8" hidden="false" customHeight="false" outlineLevel="0" collapsed="false">
      <c r="A6" s="1" t="n">
        <v>5</v>
      </c>
      <c r="B6" s="1" t="n">
        <v>34</v>
      </c>
      <c r="C6" s="1" t="n">
        <v>13</v>
      </c>
      <c r="D6" s="0" t="n">
        <v>0</v>
      </c>
      <c r="F6" s="1" t="n">
        <v>5</v>
      </c>
      <c r="G6" s="0" t="n">
        <f aca="false">MAX(H6:I6) + B6</f>
        <v>106</v>
      </c>
      <c r="H6" s="0" t="n">
        <f aca="false">VLOOKUP(C6, $F:$G, 2, 0)</f>
        <v>72</v>
      </c>
      <c r="I6" s="0" t="str">
        <f aca="false">VLOOKUP(D6, $F:$G, 2, 0)</f>
        <v>-</v>
      </c>
    </row>
    <row r="7" customFormat="false" ht="12.8" hidden="false" customHeight="false" outlineLevel="0" collapsed="false">
      <c r="A7" s="1" t="n">
        <v>6</v>
      </c>
      <c r="B7" s="1" t="n">
        <v>25</v>
      </c>
      <c r="C7" s="1" t="n">
        <v>1</v>
      </c>
      <c r="D7" s="0" t="n">
        <v>0</v>
      </c>
      <c r="F7" s="1" t="n">
        <v>6</v>
      </c>
      <c r="G7" s="0" t="n">
        <f aca="false">MAX(H7:I7) + B7</f>
        <v>79</v>
      </c>
      <c r="H7" s="0" t="n">
        <f aca="false">VLOOKUP(C7, $F:$G, 2, 0)</f>
        <v>54</v>
      </c>
      <c r="I7" s="0" t="str">
        <f aca="false">VLOOKUP(D7, $F:$G, 2, 0)</f>
        <v>-</v>
      </c>
    </row>
    <row r="8" customFormat="false" ht="12.8" hidden="false" customHeight="false" outlineLevel="0" collapsed="false">
      <c r="A8" s="1" t="n">
        <v>7</v>
      </c>
      <c r="B8" s="1" t="n">
        <v>27</v>
      </c>
      <c r="C8" s="1" t="n">
        <v>15</v>
      </c>
      <c r="D8" s="0" t="n">
        <v>20</v>
      </c>
      <c r="F8" s="1" t="n">
        <v>7</v>
      </c>
      <c r="G8" s="0" t="n">
        <f aca="false">MAX(H8:I8) + B8</f>
        <v>63</v>
      </c>
      <c r="H8" s="0" t="n">
        <f aca="false">VLOOKUP(C8, $F:$G, 2, 0)</f>
        <v>28</v>
      </c>
      <c r="I8" s="0" t="n">
        <f aca="false">VLOOKUP(D8, $F:$G, 2, 0)</f>
        <v>36</v>
      </c>
    </row>
    <row r="9" customFormat="false" ht="12.8" hidden="false" customHeight="false" outlineLevel="0" collapsed="false">
      <c r="A9" s="1" t="n">
        <v>8</v>
      </c>
      <c r="B9" s="1" t="n">
        <v>12</v>
      </c>
      <c r="C9" s="1" t="n">
        <v>12</v>
      </c>
      <c r="D9" s="0" t="n">
        <v>20</v>
      </c>
      <c r="F9" s="1" t="n">
        <v>8</v>
      </c>
      <c r="G9" s="0" t="n">
        <f aca="false">MAX(H9:I9) + B9</f>
        <v>59</v>
      </c>
      <c r="H9" s="0" t="n">
        <f aca="false">VLOOKUP(C9, $F:$G, 2, 0)</f>
        <v>47</v>
      </c>
      <c r="I9" s="0" t="n">
        <f aca="false">VLOOKUP(D9, $F:$G, 2, 0)</f>
        <v>36</v>
      </c>
    </row>
    <row r="10" customFormat="false" ht="12.8" hidden="false" customHeight="false" outlineLevel="0" collapsed="false">
      <c r="A10" s="1" t="n">
        <v>9</v>
      </c>
      <c r="B10" s="1" t="n">
        <v>38</v>
      </c>
      <c r="C10" s="1" t="n">
        <v>1</v>
      </c>
      <c r="D10" s="0" t="n">
        <v>0</v>
      </c>
      <c r="F10" s="1" t="n">
        <v>9</v>
      </c>
      <c r="G10" s="0" t="n">
        <f aca="false">MAX(H10:I10) + B10</f>
        <v>92</v>
      </c>
      <c r="H10" s="0" t="n">
        <f aca="false">VLOOKUP(C10, $F:$G, 2, 0)</f>
        <v>54</v>
      </c>
      <c r="I10" s="0" t="str">
        <f aca="false">VLOOKUP(D10, $F:$G, 2, 0)</f>
        <v>-</v>
      </c>
    </row>
    <row r="11" customFormat="false" ht="12.8" hidden="false" customHeight="false" outlineLevel="0" collapsed="false">
      <c r="A11" s="1" t="n">
        <v>10</v>
      </c>
      <c r="B11" s="1" t="n">
        <v>4</v>
      </c>
      <c r="C11" s="1" t="n">
        <v>2</v>
      </c>
      <c r="D11" s="0" t="n">
        <v>0</v>
      </c>
      <c r="F11" s="1" t="n">
        <v>10</v>
      </c>
      <c r="G11" s="0" t="n">
        <f aca="false">MAX(H11:I11) + B11</f>
        <v>55</v>
      </c>
      <c r="H11" s="0" t="n">
        <f aca="false">VLOOKUP(C11, $F:$G, 2, 0)</f>
        <v>51</v>
      </c>
      <c r="I11" s="0" t="str">
        <f aca="false">VLOOKUP(D11, $F:$G, 2, 0)</f>
        <v>-</v>
      </c>
    </row>
    <row r="12" customFormat="false" ht="12.8" hidden="false" customHeight="false" outlineLevel="0" collapsed="false">
      <c r="A12" s="1" t="n">
        <v>11</v>
      </c>
      <c r="B12" s="1" t="n">
        <v>18</v>
      </c>
      <c r="C12" s="1" t="n">
        <v>3</v>
      </c>
      <c r="D12" s="0" t="n">
        <v>20</v>
      </c>
      <c r="F12" s="1" t="n">
        <v>11</v>
      </c>
      <c r="G12" s="0" t="n">
        <f aca="false">MAX(H12:I12) + B12</f>
        <v>63</v>
      </c>
      <c r="H12" s="0" t="n">
        <f aca="false">VLOOKUP(C12, $F:$G, 2, 0)</f>
        <v>45</v>
      </c>
      <c r="I12" s="0" t="n">
        <f aca="false">VLOOKUP(D12, $F:$G, 2, 0)</f>
        <v>36</v>
      </c>
    </row>
    <row r="13" customFormat="false" ht="12.8" hidden="false" customHeight="false" outlineLevel="0" collapsed="false">
      <c r="A13" s="1" t="n">
        <v>12</v>
      </c>
      <c r="B13" s="1" t="n">
        <v>24</v>
      </c>
      <c r="C13" s="1" t="n">
        <v>17</v>
      </c>
      <c r="D13" s="0" t="n">
        <v>0</v>
      </c>
      <c r="F13" s="1" t="n">
        <v>12</v>
      </c>
      <c r="G13" s="0" t="n">
        <f aca="false">MAX(H13:I13) + B13</f>
        <v>47</v>
      </c>
      <c r="H13" s="0" t="n">
        <f aca="false">VLOOKUP(C13, $F:$G, 2, 0)</f>
        <v>23</v>
      </c>
      <c r="I13" s="0" t="str">
        <f aca="false">VLOOKUP(D13, $F:$G, 2, 0)</f>
        <v>-</v>
      </c>
    </row>
    <row r="14" customFormat="false" ht="12.8" hidden="false" customHeight="false" outlineLevel="0" collapsed="false">
      <c r="A14" s="1" t="n">
        <v>13</v>
      </c>
      <c r="B14" s="1" t="n">
        <v>38</v>
      </c>
      <c r="C14" s="1" t="n">
        <v>18</v>
      </c>
      <c r="D14" s="0" t="n">
        <v>0</v>
      </c>
      <c r="F14" s="1" t="n">
        <v>13</v>
      </c>
      <c r="G14" s="0" t="n">
        <f aca="false">MAX(H14:I14) + B14</f>
        <v>72</v>
      </c>
      <c r="H14" s="0" t="n">
        <f aca="false">VLOOKUP(C14, $F:$G, 2, 0)</f>
        <v>34</v>
      </c>
      <c r="I14" s="0" t="str">
        <f aca="false">VLOOKUP(D14, $F:$G, 2, 0)</f>
        <v>-</v>
      </c>
    </row>
    <row r="15" customFormat="false" ht="12.8" hidden="false" customHeight="false" outlineLevel="0" collapsed="false">
      <c r="A15" s="1" t="n">
        <v>14</v>
      </c>
      <c r="B15" s="1" t="n">
        <v>34</v>
      </c>
      <c r="C15" s="1" t="n">
        <v>20</v>
      </c>
      <c r="D15" s="0" t="n">
        <v>0</v>
      </c>
      <c r="F15" s="1" t="n">
        <v>14</v>
      </c>
      <c r="G15" s="0" t="n">
        <f aca="false">MAX(H15:I15) + B15</f>
        <v>70</v>
      </c>
      <c r="H15" s="0" t="n">
        <f aca="false">VLOOKUP(C15, $F:$G, 2, 0)</f>
        <v>36</v>
      </c>
      <c r="I15" s="0" t="str">
        <f aca="false">VLOOKUP(D15, $F:$G, 2, 0)</f>
        <v>-</v>
      </c>
    </row>
    <row r="16" customFormat="false" ht="12.8" hidden="false" customHeight="false" outlineLevel="0" collapsed="false">
      <c r="A16" s="1" t="n">
        <v>15</v>
      </c>
      <c r="B16" s="1" t="n">
        <v>28</v>
      </c>
      <c r="C16" s="1" t="n">
        <v>0</v>
      </c>
      <c r="D16" s="0" t="n">
        <v>0</v>
      </c>
      <c r="F16" s="1" t="n">
        <v>15</v>
      </c>
      <c r="G16" s="0" t="n">
        <f aca="false">MAX(H16:I16) + B16</f>
        <v>28</v>
      </c>
      <c r="H16" s="0" t="str">
        <f aca="false">VLOOKUP(C16, $F:$G, 2, 0)</f>
        <v>-</v>
      </c>
      <c r="I16" s="0" t="str">
        <f aca="false">VLOOKUP(D16, $F:$G, 2, 0)</f>
        <v>-</v>
      </c>
    </row>
    <row r="17" customFormat="false" ht="12.8" hidden="false" customHeight="false" outlineLevel="0" collapsed="false">
      <c r="A17" s="1" t="n">
        <v>16</v>
      </c>
      <c r="B17" s="1" t="n">
        <v>23</v>
      </c>
      <c r="C17" s="1" t="n">
        <v>6</v>
      </c>
      <c r="D17" s="0" t="n">
        <v>20</v>
      </c>
      <c r="F17" s="1" t="n">
        <v>16</v>
      </c>
      <c r="G17" s="0" t="n">
        <f aca="false">MAX(H17:I17) + B17</f>
        <v>102</v>
      </c>
      <c r="H17" s="0" t="n">
        <f aca="false">VLOOKUP(C17, $F:$G, 2, 0)</f>
        <v>79</v>
      </c>
      <c r="I17" s="0" t="n">
        <f aca="false">VLOOKUP(D17, $F:$G, 2, 0)</f>
        <v>36</v>
      </c>
    </row>
    <row r="18" customFormat="false" ht="12.8" hidden="false" customHeight="false" outlineLevel="0" collapsed="false">
      <c r="A18" s="1" t="n">
        <v>17</v>
      </c>
      <c r="B18" s="1" t="n">
        <v>23</v>
      </c>
      <c r="C18" s="1" t="n">
        <v>0</v>
      </c>
      <c r="D18" s="0" t="n">
        <v>0</v>
      </c>
      <c r="F18" s="1" t="n">
        <v>17</v>
      </c>
      <c r="G18" s="0" t="n">
        <f aca="false">MAX(H18:I18) + B18</f>
        <v>23</v>
      </c>
      <c r="H18" s="0" t="str">
        <f aca="false">VLOOKUP(C18, $F:$G, 2, 0)</f>
        <v>-</v>
      </c>
      <c r="I18" s="0" t="str">
        <f aca="false">VLOOKUP(D18, $F:$G, 2, 0)</f>
        <v>-</v>
      </c>
    </row>
    <row r="19" customFormat="false" ht="12.8" hidden="false" customHeight="false" outlineLevel="0" collapsed="false">
      <c r="A19" s="1" t="n">
        <v>18</v>
      </c>
      <c r="B19" s="1" t="n">
        <v>34</v>
      </c>
      <c r="C19" s="1" t="n">
        <v>0</v>
      </c>
      <c r="D19" s="0" t="n">
        <v>0</v>
      </c>
      <c r="F19" s="1" t="n">
        <v>18</v>
      </c>
      <c r="G19" s="0" t="n">
        <f aca="false">MAX(H19:I19) + B19</f>
        <v>34</v>
      </c>
      <c r="H19" s="0" t="str">
        <f aca="false">VLOOKUP(C19, $F:$G, 2, 0)</f>
        <v>-</v>
      </c>
      <c r="I19" s="0" t="str">
        <f aca="false">VLOOKUP(D19, $F:$G, 2, 0)</f>
        <v>-</v>
      </c>
    </row>
    <row r="20" customFormat="false" ht="12.8" hidden="false" customHeight="false" outlineLevel="0" collapsed="false">
      <c r="A20" s="1" t="n">
        <v>19</v>
      </c>
      <c r="B20" s="1" t="n">
        <v>7</v>
      </c>
      <c r="C20" s="1" t="n">
        <v>15</v>
      </c>
      <c r="D20" s="0" t="n">
        <v>18</v>
      </c>
      <c r="F20" s="1" t="n">
        <v>19</v>
      </c>
      <c r="G20" s="0" t="n">
        <f aca="false">MAX(H20:I20) + B20</f>
        <v>41</v>
      </c>
      <c r="H20" s="0" t="n">
        <f aca="false">VLOOKUP(C20, $F:$G, 2, 0)</f>
        <v>28</v>
      </c>
      <c r="I20" s="0" t="n">
        <f aca="false">VLOOKUP(D20, $F:$G, 2, 0)</f>
        <v>34</v>
      </c>
    </row>
    <row r="21" customFormat="false" ht="12.8" hidden="false" customHeight="false" outlineLevel="0" collapsed="false">
      <c r="A21" s="1" t="n">
        <v>20</v>
      </c>
      <c r="B21" s="1" t="n">
        <v>36</v>
      </c>
      <c r="C21" s="1" t="n">
        <v>0</v>
      </c>
      <c r="D21" s="0" t="n">
        <v>0</v>
      </c>
      <c r="F21" s="1" t="n">
        <v>20</v>
      </c>
      <c r="G21" s="0" t="n">
        <f aca="false">MAX(H21:I21) + B21</f>
        <v>36</v>
      </c>
      <c r="H21" s="0" t="str">
        <f aca="false">VLOOKUP(C21, $F:$G, 2, 0)</f>
        <v>-</v>
      </c>
      <c r="I21" s="0" t="str">
        <f aca="false">VLOOKUP(D21, $F:$G, 2, 0)</f>
        <v>-</v>
      </c>
    </row>
    <row r="22" customFormat="false" ht="12.8" hidden="false" customHeight="false" outlineLevel="0" collapsed="false">
      <c r="F22" s="1" t="n">
        <v>0</v>
      </c>
      <c r="G2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2023-02-06T14:28:22Z</dcterms:created>
  <dc:creator/>
  <dc:description/>
  <dc:language>ru-RU</dc:language>
  <cp:lastModifiedBy/>
  <dcterms:modified xsi:type="dcterms:W3CDTF">2026-04-02T13:44:35Z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