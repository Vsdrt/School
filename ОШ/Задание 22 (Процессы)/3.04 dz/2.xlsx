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<sst xmlns="http://schemas.openxmlformats.org/spreadsheetml/2006/main" count="35" uniqueCount="7">
  <si>
    <t xml:space="preserve">ID процесса B</t>
  </si>
  <si>
    <t xml:space="preserve">Время выполнения процесса B (мс)</t>
  </si>
  <si>
    <t xml:space="preserve">ID процесса(ов) A</t>
  </si>
  <si>
    <t xml:space="preserve">конец</t>
  </si>
  <si>
    <t xml:space="preserve">взаимосвязи</t>
  </si>
  <si>
    <t xml:space="preserve">0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</si>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</sst>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42"/>
    <col collapsed="false" customWidth="true" hidden="false" outlineLevel="0" max="2" min="2" style="0" width="19"/>
    <col collapsed="false" customWidth="true" hidden="false" outlineLevel="0" max="3" min="3" style="0" width="14.86"/>
    <col collapsed="false" customWidth="true" hidden="false" outlineLevel="0" max="8" min="8" style="0" width="13.4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H1" s="1" t="s">
        <v>0</v>
      </c>
      <c r="I1" s="0" t="s">
        <v>3</v>
      </c>
      <c r="J1" s="0" t="s">
        <v>4</v>
      </c>
      <c r="O1" s="2" t="n">
        <f aca="false">MAX(I:I)</f>
        <v>37</v>
      </c>
    </row>
    <row r="2" customFormat="false" ht="15" hidden="false" customHeight="false" outlineLevel="0" collapsed="false">
      <c r="A2" s="3" t="n">
        <v>1</v>
      </c>
      <c r="B2" s="3" t="n">
        <v>13</v>
      </c>
      <c r="C2" s="3" t="n">
        <v>0</v>
      </c>
      <c r="D2" s="0" t="s">
        <v>5</v>
      </c>
      <c r="E2" s="0" t="s">
        <v>5</v>
      </c>
      <c r="F2" s="0" t="s">
        <v>5</v>
      </c>
      <c r="H2" s="3" t="n">
        <v>1</v>
      </c>
      <c r="I2" s="0" t="n">
        <f aca="false">MAX(J2:M2) + B2</f>
        <v>13</v>
      </c>
      <c r="J2" s="0" t="str">
        <f aca="false">VLOOKUP(C2, $H:$I, 2, 0)</f>
        <v>-</v>
      </c>
      <c r="K2" s="0" t="str">
        <f aca="false">VLOOKUP(D2, $H:$I, 2, 0)</f>
        <v>-</v>
      </c>
      <c r="L2" s="0" t="str">
        <f aca="false">VLOOKUP(E2, $H:$I, 2, 0)</f>
        <v>-</v>
      </c>
      <c r="M2" s="0" t="str">
        <f aca="false">VLOOKUP(F2, $H:$I, 2, 0)</f>
        <v>-</v>
      </c>
    </row>
    <row r="3" customFormat="false" ht="15" hidden="false" customHeight="false" outlineLevel="0" collapsed="false">
      <c r="A3" s="3" t="n">
        <v>2</v>
      </c>
      <c r="B3" s="3" t="n">
        <v>4</v>
      </c>
      <c r="C3" s="3" t="n">
        <v>0</v>
      </c>
      <c r="D3" s="0" t="s">
        <v>5</v>
      </c>
      <c r="E3" s="0" t="s">
        <v>5</v>
      </c>
      <c r="F3" s="0" t="s">
        <v>5</v>
      </c>
      <c r="H3" s="3" t="n">
        <v>2</v>
      </c>
      <c r="I3" s="0" t="n">
        <f aca="false">MAX(J3:M3) + B3</f>
        <v>4</v>
      </c>
      <c r="J3" s="0" t="str">
        <f aca="false">VLOOKUP(C3, $H:$I, 2, 0)</f>
        <v>-</v>
      </c>
      <c r="K3" s="0" t="str">
        <f aca="false">VLOOKUP(D3, $H:$I, 2, 0)</f>
        <v>-</v>
      </c>
      <c r="L3" s="0" t="str">
        <f aca="false">VLOOKUP(E3, $H:$I, 2, 0)</f>
        <v>-</v>
      </c>
      <c r="M3" s="0" t="str">
        <f aca="false">VLOOKUP(F3, $H:$I, 2, 0)</f>
        <v>-</v>
      </c>
    </row>
    <row r="4" customFormat="false" ht="15" hidden="false" customHeight="false" outlineLevel="0" collapsed="false">
      <c r="A4" s="3" t="n">
        <v>3</v>
      </c>
      <c r="B4" s="3" t="n">
        <v>8</v>
      </c>
      <c r="C4" s="3" t="n">
        <v>0</v>
      </c>
      <c r="D4" s="0" t="s">
        <v>5</v>
      </c>
      <c r="E4" s="0" t="s">
        <v>5</v>
      </c>
      <c r="F4" s="0" t="s">
        <v>5</v>
      </c>
      <c r="H4" s="3" t="n">
        <v>3</v>
      </c>
      <c r="I4" s="0" t="n">
        <f aca="false">MAX(J4:M4) + B4</f>
        <v>8</v>
      </c>
      <c r="J4" s="0" t="str">
        <f aca="false">VLOOKUP(C4, $H:$I, 2, 0)</f>
        <v>-</v>
      </c>
      <c r="K4" s="0" t="str">
        <f aca="false">VLOOKUP(D4, $H:$I, 2, 0)</f>
        <v>-</v>
      </c>
      <c r="L4" s="0" t="str">
        <f aca="false">VLOOKUP(E4, $H:$I, 2, 0)</f>
        <v>-</v>
      </c>
      <c r="M4" s="0" t="str">
        <f aca="false">VLOOKUP(F4, $H:$I, 2, 0)</f>
        <v>-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2</v>
      </c>
      <c r="D5" s="0" t="n">
        <v>3</v>
      </c>
      <c r="E5" s="0" t="s">
        <v>5</v>
      </c>
      <c r="F5" s="0" t="s">
        <v>5</v>
      </c>
      <c r="H5" s="3" t="n">
        <v>4</v>
      </c>
      <c r="I5" s="0" t="n">
        <f aca="false">MAX(J5:M5) + B5</f>
        <v>11</v>
      </c>
      <c r="J5" s="0" t="n">
        <f aca="false">VLOOKUP(C5, $H:$I, 2, 0)</f>
        <v>4</v>
      </c>
      <c r="K5" s="0" t="n">
        <f aca="false">VLOOKUP(D5, $H:$I, 2, 0)</f>
        <v>8</v>
      </c>
      <c r="L5" s="0" t="str">
        <f aca="false">VLOOKUP(E5, $H:$I, 2, 0)</f>
        <v>-</v>
      </c>
      <c r="M5" s="0" t="str">
        <f aca="false">VLOOKUP(F5, $H:$I, 2, 0)</f>
        <v>-</v>
      </c>
    </row>
    <row r="6" customFormat="false" ht="15" hidden="false" customHeight="false" outlineLevel="0" collapsed="false">
      <c r="A6" s="3" t="n">
        <v>5</v>
      </c>
      <c r="B6" s="3" t="n">
        <v>7</v>
      </c>
      <c r="C6" s="3" t="n">
        <v>1</v>
      </c>
      <c r="D6" s="0" t="n">
        <v>4</v>
      </c>
      <c r="E6" s="0" t="s">
        <v>5</v>
      </c>
      <c r="F6" s="0" t="s">
        <v>5</v>
      </c>
      <c r="H6" s="3" t="n">
        <v>5</v>
      </c>
      <c r="I6" s="0" t="n">
        <f aca="false">MAX(J6:M6) + B6</f>
        <v>20</v>
      </c>
      <c r="J6" s="0" t="n">
        <f aca="false">VLOOKUP(C6, $H:$I, 2, 0)</f>
        <v>13</v>
      </c>
      <c r="K6" s="0" t="n">
        <f aca="false">VLOOKUP(D6, $H:$I, 2, 0)</f>
        <v>11</v>
      </c>
      <c r="L6" s="0" t="str">
        <f aca="false">VLOOKUP(E6, $H:$I, 2, 0)</f>
        <v>-</v>
      </c>
      <c r="M6" s="0" t="str">
        <f aca="false">VLOOKUP(F6, $H:$I, 2, 0)</f>
        <v>-</v>
      </c>
    </row>
    <row r="7" customFormat="false" ht="15" hidden="false" customHeight="false" outlineLevel="0" collapsed="false">
      <c r="A7" s="3" t="n">
        <v>6</v>
      </c>
      <c r="B7" s="3" t="n">
        <v>17</v>
      </c>
      <c r="C7" s="3" t="n">
        <v>1</v>
      </c>
      <c r="D7" s="0" t="n">
        <v>2</v>
      </c>
      <c r="E7" s="0" t="n">
        <v>3</v>
      </c>
      <c r="F7" s="0" t="n">
        <v>5</v>
      </c>
      <c r="H7" s="3" t="n">
        <v>6</v>
      </c>
      <c r="I7" s="0" t="n">
        <f aca="false">MAX(J7:M7) + B7</f>
        <v>37</v>
      </c>
      <c r="J7" s="0" t="n">
        <f aca="false">VLOOKUP(C7, $H:$I, 2, 0)</f>
        <v>13</v>
      </c>
      <c r="K7" s="0" t="n">
        <f aca="false">VLOOKUP(D7, $H:$I, 2, 0)</f>
        <v>4</v>
      </c>
      <c r="L7" s="0" t="n">
        <f aca="false">VLOOKUP(E7, $H:$I, 2, 0)</f>
        <v>8</v>
      </c>
      <c r="M7" s="0" t="n">
        <f aca="false">VLOOKUP(F7, $H:$I, 2, 0)</f>
        <v>20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0" t="s">
        <v>5</v>
      </c>
      <c r="E8" s="0" t="s">
        <v>5</v>
      </c>
      <c r="F8" s="0" t="s">
        <v>5</v>
      </c>
      <c r="H8" s="3" t="n">
        <v>7</v>
      </c>
      <c r="I8" s="0" t="n">
        <f aca="false">MAX(J8:M8) + B8</f>
        <v>6</v>
      </c>
      <c r="J8" s="0" t="str">
        <f aca="false">VLOOKUP(C8, $H:$I, 2, 0)</f>
        <v>-</v>
      </c>
      <c r="K8" s="0" t="str">
        <f aca="false">VLOOKUP(D8, $H:$I, 2, 0)</f>
        <v>-</v>
      </c>
      <c r="L8" s="0" t="str">
        <f aca="false">VLOOKUP(E8, $H:$I, 2, 0)</f>
        <v>-</v>
      </c>
      <c r="M8" s="0" t="str">
        <f aca="false">VLOOKUP(F8, $H:$I, 2, 0)</f>
        <v>-</v>
      </c>
    </row>
    <row r="9" customFormat="false" ht="15" hidden="false" customHeight="false" outlineLevel="0" collapsed="false">
      <c r="A9" s="3" t="n">
        <v>8</v>
      </c>
      <c r="B9" s="3" t="n">
        <v>9</v>
      </c>
      <c r="C9" s="3" t="n">
        <v>4</v>
      </c>
      <c r="D9" s="0" t="n">
        <v>7</v>
      </c>
      <c r="E9" s="0" t="s">
        <v>5</v>
      </c>
      <c r="F9" s="0" t="s">
        <v>5</v>
      </c>
      <c r="H9" s="3" t="n">
        <v>8</v>
      </c>
      <c r="I9" s="0" t="n">
        <f aca="false">MAX(J9:M9) + B9</f>
        <v>20</v>
      </c>
      <c r="J9" s="0" t="n">
        <f aca="false">VLOOKUP(C9, $H:$I, 2, 0)</f>
        <v>11</v>
      </c>
      <c r="K9" s="0" t="n">
        <f aca="false">VLOOKUP(D9, $H:$I, 2, 0)</f>
        <v>6</v>
      </c>
      <c r="L9" s="0" t="str">
        <f aca="false">VLOOKUP(E9, $H:$I, 2, 0)</f>
        <v>-</v>
      </c>
      <c r="M9" s="0" t="str">
        <f aca="false">VLOOKUP(F9, $H:$I, 2, 0)</f>
        <v>-</v>
      </c>
    </row>
    <row r="10" customFormat="false" ht="15" hidden="false" customHeight="false" outlineLevel="0" collapsed="false">
      <c r="A10" s="3" t="n">
        <v>9</v>
      </c>
      <c r="B10" s="3" t="n">
        <v>4</v>
      </c>
      <c r="C10" s="3" t="n">
        <v>5</v>
      </c>
      <c r="D10" s="0" t="s">
        <v>5</v>
      </c>
      <c r="E10" s="0" t="s">
        <v>5</v>
      </c>
      <c r="F10" s="0" t="s">
        <v>5</v>
      </c>
      <c r="H10" s="3" t="n">
        <v>9</v>
      </c>
      <c r="I10" s="0" t="n">
        <f aca="false">MAX(J10:M10) + B10</f>
        <v>24</v>
      </c>
      <c r="J10" s="0" t="n">
        <f aca="false">VLOOKUP(C10, $H:$I, 2, 0)</f>
        <v>20</v>
      </c>
      <c r="K10" s="0" t="str">
        <f aca="false">VLOOKUP(D10, $H:$I, 2, 0)</f>
        <v>-</v>
      </c>
      <c r="L10" s="0" t="str">
        <f aca="false">VLOOKUP(E10, $H:$I, 2, 0)</f>
        <v>-</v>
      </c>
      <c r="M10" s="0" t="str">
        <f aca="false">VLOOKUP(F10, $H:$I, 2, 0)</f>
        <v>-</v>
      </c>
    </row>
    <row r="11" customFormat="false" ht="15" hidden="false" customHeight="false" outlineLevel="0" collapsed="false">
      <c r="A11" s="3" t="n">
        <v>10</v>
      </c>
      <c r="B11" s="3" t="n">
        <v>3</v>
      </c>
      <c r="C11" s="3" t="n">
        <v>8</v>
      </c>
      <c r="D11" s="0" t="n">
        <v>9</v>
      </c>
      <c r="E11" s="0" t="s">
        <v>5</v>
      </c>
      <c r="F11" s="0" t="s">
        <v>5</v>
      </c>
      <c r="H11" s="3" t="n">
        <v>10</v>
      </c>
      <c r="I11" s="0" t="n">
        <f aca="false">MAX(J11:M11) + B11</f>
        <v>27</v>
      </c>
      <c r="J11" s="0" t="n">
        <f aca="false">VLOOKUP(C11, $H:$I, 2, 0)</f>
        <v>20</v>
      </c>
      <c r="K11" s="0" t="n">
        <f aca="false">VLOOKUP(D11, $H:$I, 2, 0)</f>
        <v>24</v>
      </c>
      <c r="L11" s="0" t="str">
        <f aca="false">VLOOKUP(E11, $H:$I, 2, 0)</f>
        <v>-</v>
      </c>
      <c r="M11" s="0" t="str">
        <f aca="false">VLOOKUP(F11, $H:$I, 2, 0)</f>
        <v>-</v>
      </c>
    </row>
    <row r="12" customFormat="false" ht="15" hidden="false" customHeight="false" outlineLevel="0" collapsed="false">
      <c r="A12" s="3" t="n">
        <v>11</v>
      </c>
      <c r="B12" s="3" t="n">
        <v>14</v>
      </c>
      <c r="C12" s="3" t="n">
        <v>2</v>
      </c>
      <c r="D12" s="0" t="s">
        <v>5</v>
      </c>
      <c r="E12" s="0" t="s">
        <v>5</v>
      </c>
      <c r="F12" s="0" t="s">
        <v>5</v>
      </c>
      <c r="H12" s="3" t="n">
        <v>11</v>
      </c>
      <c r="I12" s="0" t="n">
        <f aca="false">MAX(J12:M12) + B12</f>
        <v>18</v>
      </c>
      <c r="J12" s="0" t="n">
        <f aca="false">VLOOKUP(C12, $H:$I, 2, 0)</f>
        <v>4</v>
      </c>
      <c r="K12" s="0" t="str">
        <f aca="false">VLOOKUP(D12, $H:$I, 2, 0)</f>
        <v>-</v>
      </c>
      <c r="L12" s="0" t="str">
        <f aca="false">VLOOKUP(E12, $H:$I, 2, 0)</f>
        <v>-</v>
      </c>
      <c r="M12" s="0" t="str">
        <f aca="false">VLOOKUP(F12, $H:$I, 2, 0)</f>
        <v>-</v>
      </c>
    </row>
    <row r="13" customFormat="false" ht="15" hidden="false" customHeight="false" outlineLevel="0" collapsed="false">
      <c r="A13" s="3" t="n">
        <v>12</v>
      </c>
      <c r="B13" s="3" t="n">
        <v>3</v>
      </c>
      <c r="C13" s="3" t="n">
        <v>3</v>
      </c>
      <c r="D13" s="0" t="n">
        <v>11</v>
      </c>
      <c r="E13" s="0" t="s">
        <v>5</v>
      </c>
      <c r="F13" s="0" t="s">
        <v>5</v>
      </c>
      <c r="H13" s="3" t="n">
        <v>12</v>
      </c>
      <c r="I13" s="0" t="n">
        <f aca="false">MAX(J13:M13) + B13</f>
        <v>21</v>
      </c>
      <c r="J13" s="0" t="n">
        <f aca="false">VLOOKUP(C13, $H:$I, 2, 0)</f>
        <v>8</v>
      </c>
      <c r="K13" s="0" t="n">
        <f aca="false">VLOOKUP(D13, $H:$I, 2, 0)</f>
        <v>18</v>
      </c>
      <c r="L13" s="0" t="str">
        <f aca="false">VLOOKUP(E13, $H:$I, 2, 0)</f>
        <v>-</v>
      </c>
      <c r="M13" s="0" t="str">
        <f aca="false">VLOOKUP(F13, $H:$I, 2, 0)</f>
        <v>-</v>
      </c>
    </row>
    <row r="14" customFormat="false" ht="15" hidden="false" customHeight="false" outlineLevel="0" collapsed="false">
      <c r="H14" s="0" t="n">
        <v>0</v>
      </c>
      <c r="I14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2023-12-19T18:47:46Z</dcterms:created>
  <dc:creator>Максим Попков</dc:creator>
  <dc:description/>
  <dc:language>ru-RU</dc:language>
  <cp:lastModifiedBy/>
  <dcterms:modified xsi:type="dcterms:W3CDTF">2026-04-07T16:06:10Z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