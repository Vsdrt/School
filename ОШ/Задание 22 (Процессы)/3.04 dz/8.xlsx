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<sst xmlns="http://schemas.openxmlformats.org/spreadsheetml/2006/main" count="35" uniqueCount="5">
  <si>
    <t xml:space="preserve">ID процесса B</t>
  </si>
  <si>
    <t xml:space="preserve">Время выполнения процесса B (мс)</t>
  </si>
  <si>
    <t xml:space="preserve">ID процесса(-ов) A</t>
  </si>
  <si>
    <t xml:space="preserve">0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</si>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</sst>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30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1" activeCellId="0" sqref="L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8.34"/>
    <col collapsed="false" customWidth="true" hidden="false" outlineLevel="0" max="3" min="3" style="0" width="18.11"/>
    <col collapsed="false" customWidth="true" hidden="false" outlineLevel="0" max="4" min="4" style="0" width="8.88"/>
    <col collapsed="false" customWidth="true" hidden="false" outlineLevel="0" max="7" min="7" style="0" width="14.56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G1" s="1" t="s">
        <v>0</v>
      </c>
      <c r="L1" s="2" t="n">
        <f aca="false">300 - MAX(H:H)</f>
        <v>102</v>
      </c>
    </row>
    <row r="2" customFormat="false" ht="14.25" hidden="false" customHeight="false" outlineLevel="0" collapsed="false">
      <c r="A2" s="0" t="n">
        <v>1</v>
      </c>
      <c r="B2" s="0" t="n">
        <v>88</v>
      </c>
      <c r="C2" s="0" t="n">
        <v>0</v>
      </c>
      <c r="D2" s="0" t="s">
        <v>3</v>
      </c>
      <c r="E2" s="0" t="s">
        <v>3</v>
      </c>
      <c r="G2" s="0" t="n">
        <v>1</v>
      </c>
      <c r="H2" s="0" t="n">
        <f aca="false">MAX(I2:K2) + B2</f>
        <v>88</v>
      </c>
      <c r="I2" s="0" t="str">
        <f aca="false">VLOOKUP(C2, $G:$H, 2, 0)</f>
        <v>-</v>
      </c>
      <c r="J2" s="0" t="str">
        <f aca="false">VLOOKUP(D2, $G:$H, 2, 0)</f>
        <v>-</v>
      </c>
      <c r="K2" s="0" t="str">
        <f aca="false">VLOOKUP(E2, $G:$H, 2, 0)</f>
        <v>-</v>
      </c>
    </row>
    <row r="3" customFormat="false" ht="14.25" hidden="false" customHeight="false" outlineLevel="0" collapsed="false">
      <c r="A3" s="0" t="n">
        <v>2</v>
      </c>
      <c r="B3" s="0" t="n">
        <v>55</v>
      </c>
      <c r="C3" s="0" t="n">
        <v>0</v>
      </c>
      <c r="D3" s="0" t="s">
        <v>3</v>
      </c>
      <c r="E3" s="0" t="s">
        <v>3</v>
      </c>
      <c r="G3" s="0" t="n">
        <v>2</v>
      </c>
      <c r="H3" s="0" t="n">
        <f aca="false">MAX(I3:K3) + B3</f>
        <v>55</v>
      </c>
      <c r="I3" s="0" t="str">
        <f aca="false">VLOOKUP(C3, $G:$H, 2, 0)</f>
        <v>-</v>
      </c>
      <c r="J3" s="0" t="str">
        <f aca="false">VLOOKUP(D3, $G:$H, 2, 0)</f>
        <v>-</v>
      </c>
      <c r="K3" s="0" t="str">
        <f aca="false">VLOOKUP(E3, $G:$H, 2, 0)</f>
        <v>-</v>
      </c>
    </row>
    <row r="4" customFormat="false" ht="14.25" hidden="false" customHeight="false" outlineLevel="0" collapsed="false">
      <c r="A4" s="0" t="n">
        <v>3</v>
      </c>
      <c r="B4" s="0" t="n">
        <v>37</v>
      </c>
      <c r="C4" s="0" t="n">
        <v>0</v>
      </c>
      <c r="D4" s="0" t="s">
        <v>3</v>
      </c>
      <c r="E4" s="0" t="s">
        <v>3</v>
      </c>
      <c r="G4" s="0" t="n">
        <v>3</v>
      </c>
      <c r="H4" s="0" t="n">
        <f aca="false">MAX(I4:K4) + B4</f>
        <v>37</v>
      </c>
      <c r="I4" s="0" t="str">
        <f aca="false">VLOOKUP(C4, $G:$H, 2, 0)</f>
        <v>-</v>
      </c>
      <c r="J4" s="0" t="str">
        <f aca="false">VLOOKUP(D4, $G:$H, 2, 0)</f>
        <v>-</v>
      </c>
      <c r="K4" s="0" t="str">
        <f aca="false">VLOOKUP(E4, $G:$H, 2, 0)</f>
        <v>-</v>
      </c>
    </row>
    <row r="5" customFormat="false" ht="14.25" hidden="false" customHeight="false" outlineLevel="0" collapsed="false">
      <c r="A5" s="0" t="n">
        <v>4</v>
      </c>
      <c r="B5" s="0" t="n">
        <v>84</v>
      </c>
      <c r="C5" s="0" t="n">
        <v>1</v>
      </c>
      <c r="D5" s="0" t="n">
        <v>3</v>
      </c>
      <c r="E5" s="0" t="s">
        <v>3</v>
      </c>
      <c r="G5" s="0" t="n">
        <v>4</v>
      </c>
      <c r="H5" s="0" t="n">
        <f aca="false">MAX(I5:K5) + B5</f>
        <v>172</v>
      </c>
      <c r="I5" s="0" t="n">
        <f aca="false">VLOOKUP(C5, $G:$H, 2, 0)</f>
        <v>88</v>
      </c>
      <c r="J5" s="0" t="n">
        <f aca="false">VLOOKUP(D5, $G:$H, 2, 0)</f>
        <v>37</v>
      </c>
      <c r="K5" s="0" t="str">
        <f aca="false">VLOOKUP(E5, $G:$H, 2, 0)</f>
        <v>-</v>
      </c>
    </row>
    <row r="6" customFormat="false" ht="14.25" hidden="false" customHeight="false" outlineLevel="0" collapsed="false">
      <c r="A6" s="0" t="n">
        <v>5</v>
      </c>
      <c r="B6" s="0" t="n">
        <v>46</v>
      </c>
      <c r="C6" s="0" t="n">
        <v>2</v>
      </c>
      <c r="D6" s="0" t="s">
        <v>3</v>
      </c>
      <c r="E6" s="0" t="s">
        <v>3</v>
      </c>
      <c r="G6" s="0" t="n">
        <v>5</v>
      </c>
      <c r="H6" s="0" t="n">
        <f aca="false">MAX(I6:K6) + B6</f>
        <v>101</v>
      </c>
      <c r="I6" s="0" t="n">
        <f aca="false">VLOOKUP(C6, $G:$H, 2, 0)</f>
        <v>55</v>
      </c>
      <c r="J6" s="0" t="str">
        <f aca="false">VLOOKUP(D6, $G:$H, 2, 0)</f>
        <v>-</v>
      </c>
      <c r="K6" s="0" t="str">
        <f aca="false">VLOOKUP(E6, $G:$H, 2, 0)</f>
        <v>-</v>
      </c>
    </row>
    <row r="7" customFormat="false" ht="14.25" hidden="false" customHeight="false" outlineLevel="0" collapsed="false">
      <c r="A7" s="0" t="n">
        <v>6</v>
      </c>
      <c r="B7" s="0" t="n">
        <v>77</v>
      </c>
      <c r="C7" s="0" t="n">
        <v>0</v>
      </c>
      <c r="D7" s="0" t="s">
        <v>3</v>
      </c>
      <c r="E7" s="0" t="s">
        <v>3</v>
      </c>
      <c r="G7" s="0" t="n">
        <v>6</v>
      </c>
      <c r="H7" s="0" t="n">
        <f aca="false">MAX(I7:K7) + B7</f>
        <v>77</v>
      </c>
      <c r="I7" s="0" t="str">
        <f aca="false">VLOOKUP(C7, $G:$H, 2, 0)</f>
        <v>-</v>
      </c>
      <c r="J7" s="0" t="str">
        <f aca="false">VLOOKUP(D7, $G:$H, 2, 0)</f>
        <v>-</v>
      </c>
      <c r="K7" s="0" t="str">
        <f aca="false">VLOOKUP(E7, $G:$H, 2, 0)</f>
        <v>-</v>
      </c>
    </row>
    <row r="8" customFormat="false" ht="14.25" hidden="false" customHeight="false" outlineLevel="0" collapsed="false">
      <c r="A8" s="0" t="n">
        <v>7</v>
      </c>
      <c r="B8" s="0" t="n">
        <v>23</v>
      </c>
      <c r="C8" s="0" t="n">
        <v>3</v>
      </c>
      <c r="D8" s="0" t="n">
        <v>5</v>
      </c>
      <c r="E8" s="0" t="s">
        <v>3</v>
      </c>
      <c r="G8" s="0" t="n">
        <v>7</v>
      </c>
      <c r="H8" s="0" t="n">
        <f aca="false">MAX(I8:K8) + B8</f>
        <v>124</v>
      </c>
      <c r="I8" s="0" t="n">
        <f aca="false">VLOOKUP(C8, $G:$H, 2, 0)</f>
        <v>37</v>
      </c>
      <c r="J8" s="0" t="n">
        <f aca="false">VLOOKUP(D8, $G:$H, 2, 0)</f>
        <v>101</v>
      </c>
      <c r="K8" s="0" t="str">
        <f aca="false">VLOOKUP(E8, $G:$H, 2, 0)</f>
        <v>-</v>
      </c>
    </row>
    <row r="9" customFormat="false" ht="14.25" hidden="false" customHeight="false" outlineLevel="0" collapsed="false">
      <c r="A9" s="0" t="n">
        <v>8</v>
      </c>
      <c r="B9" s="0" t="n">
        <v>14</v>
      </c>
      <c r="C9" s="0" t="n">
        <v>7</v>
      </c>
      <c r="D9" s="0" t="s">
        <v>3</v>
      </c>
      <c r="E9" s="0" t="s">
        <v>3</v>
      </c>
      <c r="G9" s="0" t="n">
        <v>8</v>
      </c>
      <c r="H9" s="0" t="n">
        <f aca="false">MAX(I9:K9) + B9</f>
        <v>138</v>
      </c>
      <c r="I9" s="0" t="n">
        <f aca="false">VLOOKUP(C9, $G:$H, 2, 0)</f>
        <v>124</v>
      </c>
      <c r="J9" s="0" t="str">
        <f aca="false">VLOOKUP(D9, $G:$H, 2, 0)</f>
        <v>-</v>
      </c>
      <c r="K9" s="0" t="str">
        <f aca="false">VLOOKUP(E9, $G:$H, 2, 0)</f>
        <v>-</v>
      </c>
    </row>
    <row r="10" customFormat="false" ht="14.25" hidden="false" customHeight="false" outlineLevel="0" collapsed="false">
      <c r="A10" s="0" t="n">
        <v>9</v>
      </c>
      <c r="B10" s="0" t="n">
        <v>93</v>
      </c>
      <c r="C10" s="0" t="n">
        <v>0</v>
      </c>
      <c r="D10" s="0" t="s">
        <v>3</v>
      </c>
      <c r="E10" s="0" t="s">
        <v>3</v>
      </c>
      <c r="G10" s="0" t="n">
        <v>9</v>
      </c>
      <c r="H10" s="0" t="n">
        <f aca="false">MAX(I10:K10) + B10</f>
        <v>93</v>
      </c>
      <c r="I10" s="0" t="str">
        <f aca="false">VLOOKUP(C10, $G:$H, 2, 0)</f>
        <v>-</v>
      </c>
      <c r="J10" s="0" t="str">
        <f aca="false">VLOOKUP(D10, $G:$H, 2, 0)</f>
        <v>-</v>
      </c>
      <c r="K10" s="0" t="str">
        <f aca="false">VLOOKUP(E10, $G:$H, 2, 0)</f>
        <v>-</v>
      </c>
    </row>
    <row r="11" customFormat="false" ht="14.25" hidden="false" customHeight="false" outlineLevel="0" collapsed="false">
      <c r="A11" s="0" t="n">
        <v>10</v>
      </c>
      <c r="B11" s="0" t="n">
        <v>54</v>
      </c>
      <c r="C11" s="0" t="n">
        <v>0</v>
      </c>
      <c r="D11" s="0" t="s">
        <v>3</v>
      </c>
      <c r="E11" s="0" t="s">
        <v>3</v>
      </c>
      <c r="G11" s="0" t="n">
        <v>10</v>
      </c>
      <c r="H11" s="0" t="n">
        <f aca="false">MAX(I11:K11) + B11</f>
        <v>54</v>
      </c>
      <c r="I11" s="0" t="str">
        <f aca="false">VLOOKUP(C11, $G:$H, 2, 0)</f>
        <v>-</v>
      </c>
      <c r="J11" s="0" t="str">
        <f aca="false">VLOOKUP(D11, $G:$H, 2, 0)</f>
        <v>-</v>
      </c>
      <c r="K11" s="0" t="str">
        <f aca="false">VLOOKUP(E11, $G:$H, 2, 0)</f>
        <v>-</v>
      </c>
    </row>
    <row r="12" customFormat="false" ht="14.25" hidden="false" customHeight="false" outlineLevel="0" collapsed="false">
      <c r="A12" s="0" t="n">
        <v>11</v>
      </c>
      <c r="B12" s="0" t="n">
        <v>69</v>
      </c>
      <c r="C12" s="0" t="n">
        <v>1</v>
      </c>
      <c r="D12" s="0" t="n">
        <v>3</v>
      </c>
      <c r="E12" s="0" t="n">
        <v>7</v>
      </c>
      <c r="G12" s="0" t="n">
        <v>11</v>
      </c>
      <c r="H12" s="0" t="n">
        <f aca="false">MAX(I12:K12) + B12</f>
        <v>193</v>
      </c>
      <c r="I12" s="0" t="n">
        <f aca="false">VLOOKUP(C12, $G:$H, 2, 0)</f>
        <v>88</v>
      </c>
      <c r="J12" s="0" t="n">
        <f aca="false">VLOOKUP(D12, $G:$H, 2, 0)</f>
        <v>37</v>
      </c>
      <c r="K12" s="0" t="n">
        <f aca="false">VLOOKUP(E12, $G:$H, 2, 0)</f>
        <v>124</v>
      </c>
    </row>
    <row r="13" customFormat="false" ht="14.25" hidden="false" customHeight="false" outlineLevel="0" collapsed="false">
      <c r="A13" s="0" t="n">
        <v>12</v>
      </c>
      <c r="B13" s="0" t="n">
        <v>29</v>
      </c>
      <c r="C13" s="0" t="n">
        <v>0</v>
      </c>
      <c r="D13" s="0" t="s">
        <v>3</v>
      </c>
      <c r="E13" s="0" t="s">
        <v>3</v>
      </c>
      <c r="G13" s="0" t="n">
        <v>12</v>
      </c>
      <c r="H13" s="0" t="n">
        <f aca="false">MAX(I13:K13) + B13</f>
        <v>29</v>
      </c>
      <c r="I13" s="0" t="str">
        <f aca="false">VLOOKUP(C13, $G:$H, 2, 0)</f>
        <v>-</v>
      </c>
      <c r="J13" s="0" t="str">
        <f aca="false">VLOOKUP(D13, $G:$H, 2, 0)</f>
        <v>-</v>
      </c>
      <c r="K13" s="0" t="str">
        <f aca="false">VLOOKUP(E13, $G:$H, 2, 0)</f>
        <v>-</v>
      </c>
    </row>
    <row r="14" customFormat="false" ht="14.25" hidden="false" customHeight="false" outlineLevel="0" collapsed="false">
      <c r="A14" s="0" t="n">
        <v>13</v>
      </c>
      <c r="B14" s="0" t="n">
        <v>24</v>
      </c>
      <c r="C14" s="0" t="n">
        <v>2</v>
      </c>
      <c r="D14" s="0" t="n">
        <v>3</v>
      </c>
      <c r="E14" s="0" t="s">
        <v>3</v>
      </c>
      <c r="G14" s="0" t="n">
        <v>13</v>
      </c>
      <c r="H14" s="0" t="n">
        <f aca="false">MAX(I14:K14) + B14</f>
        <v>79</v>
      </c>
      <c r="I14" s="0" t="n">
        <f aca="false">VLOOKUP(C14, $G:$H, 2, 0)</f>
        <v>55</v>
      </c>
      <c r="J14" s="0" t="n">
        <f aca="false">VLOOKUP(D14, $G:$H, 2, 0)</f>
        <v>37</v>
      </c>
      <c r="K14" s="0" t="str">
        <f aca="false">VLOOKUP(E14, $G:$H, 2, 0)</f>
        <v>-</v>
      </c>
    </row>
    <row r="15" customFormat="false" ht="14.25" hidden="false" customHeight="false" outlineLevel="0" collapsed="false">
      <c r="A15" s="0" t="n">
        <v>14</v>
      </c>
      <c r="B15" s="0" t="n">
        <v>46</v>
      </c>
      <c r="C15" s="0" t="n">
        <v>5</v>
      </c>
      <c r="D15" s="0" t="s">
        <v>3</v>
      </c>
      <c r="E15" s="0" t="s">
        <v>3</v>
      </c>
      <c r="G15" s="0" t="n">
        <v>14</v>
      </c>
      <c r="H15" s="0" t="n">
        <f aca="false">MAX(I15:K15) + B15</f>
        <v>147</v>
      </c>
      <c r="I15" s="0" t="n">
        <f aca="false">VLOOKUP(C15, $G:$H, 2, 0)</f>
        <v>101</v>
      </c>
      <c r="J15" s="0" t="str">
        <f aca="false">VLOOKUP(D15, $G:$H, 2, 0)</f>
        <v>-</v>
      </c>
      <c r="K15" s="0" t="str">
        <f aca="false">VLOOKUP(E15, $G:$H, 2, 0)</f>
        <v>-</v>
      </c>
    </row>
    <row r="16" customFormat="false" ht="14.25" hidden="false" customHeight="false" outlineLevel="0" collapsed="false">
      <c r="A16" s="0" t="n">
        <v>15</v>
      </c>
      <c r="B16" s="0" t="n">
        <v>22</v>
      </c>
      <c r="C16" s="0" t="n">
        <v>4</v>
      </c>
      <c r="D16" s="0" t="n">
        <v>7</v>
      </c>
      <c r="E16" s="0" t="s">
        <v>3</v>
      </c>
      <c r="G16" s="0" t="n">
        <v>15</v>
      </c>
      <c r="H16" s="0" t="n">
        <f aca="false">MAX(I16:K16) + B16</f>
        <v>194</v>
      </c>
      <c r="I16" s="0" t="n">
        <f aca="false">VLOOKUP(C16, $G:$H, 2, 0)</f>
        <v>172</v>
      </c>
      <c r="J16" s="0" t="n">
        <f aca="false">VLOOKUP(D16, $G:$H, 2, 0)</f>
        <v>124</v>
      </c>
      <c r="K16" s="0" t="str">
        <f aca="false">VLOOKUP(E16, $G:$H, 2, 0)</f>
        <v>-</v>
      </c>
    </row>
    <row r="17" customFormat="false" ht="14.25" hidden="false" customHeight="false" outlineLevel="0" collapsed="false">
      <c r="A17" s="0" t="n">
        <v>16</v>
      </c>
      <c r="B17" s="0" t="n">
        <v>97</v>
      </c>
      <c r="C17" s="0" t="n">
        <v>5</v>
      </c>
      <c r="D17" s="0" t="n">
        <v>9</v>
      </c>
      <c r="E17" s="0" t="s">
        <v>3</v>
      </c>
      <c r="G17" s="0" t="n">
        <v>16</v>
      </c>
      <c r="H17" s="0" t="n">
        <f aca="false">MAX(I17:K17) + B17</f>
        <v>198</v>
      </c>
      <c r="I17" s="0" t="n">
        <f aca="false">VLOOKUP(C17, $G:$H, 2, 0)</f>
        <v>101</v>
      </c>
      <c r="J17" s="0" t="n">
        <f aca="false">VLOOKUP(D17, $G:$H, 2, 0)</f>
        <v>93</v>
      </c>
      <c r="K17" s="0" t="str">
        <f aca="false">VLOOKUP(E17, $G:$H, 2, 0)</f>
        <v>-</v>
      </c>
    </row>
    <row r="18" customFormat="false" ht="14.25" hidden="false" customHeight="false" outlineLevel="0" collapsed="false">
      <c r="A18" s="0" t="n">
        <v>17</v>
      </c>
      <c r="B18" s="0" t="n">
        <v>24</v>
      </c>
      <c r="C18" s="0" t="n">
        <v>0</v>
      </c>
      <c r="D18" s="0" t="s">
        <v>3</v>
      </c>
      <c r="E18" s="0" t="s">
        <v>3</v>
      </c>
      <c r="G18" s="0" t="n">
        <v>17</v>
      </c>
      <c r="H18" s="0" t="n">
        <f aca="false">MAX(I18:K18) + B18</f>
        <v>24</v>
      </c>
      <c r="I18" s="0" t="str">
        <f aca="false">VLOOKUP(C18, $G:$H, 2, 0)</f>
        <v>-</v>
      </c>
      <c r="J18" s="0" t="str">
        <f aca="false">VLOOKUP(D18, $G:$H, 2, 0)</f>
        <v>-</v>
      </c>
      <c r="K18" s="0" t="str">
        <f aca="false">VLOOKUP(E18, $G:$H, 2, 0)</f>
        <v>-</v>
      </c>
    </row>
    <row r="19" customFormat="false" ht="14.25" hidden="false" customHeight="false" outlineLevel="0" collapsed="false">
      <c r="A19" s="0" t="n">
        <v>18</v>
      </c>
      <c r="B19" s="0" t="n">
        <v>24</v>
      </c>
      <c r="C19" s="0" t="n">
        <v>2</v>
      </c>
      <c r="D19" s="0" t="n">
        <v>6</v>
      </c>
      <c r="E19" s="0" t="s">
        <v>3</v>
      </c>
      <c r="G19" s="0" t="n">
        <v>18</v>
      </c>
      <c r="H19" s="0" t="n">
        <f aca="false">MAX(I19:K19) + B19</f>
        <v>101</v>
      </c>
      <c r="I19" s="0" t="n">
        <f aca="false">VLOOKUP(C19, $G:$H, 2, 0)</f>
        <v>55</v>
      </c>
      <c r="J19" s="0" t="n">
        <f aca="false">VLOOKUP(D19, $G:$H, 2, 0)</f>
        <v>77</v>
      </c>
      <c r="K19" s="0" t="str">
        <f aca="false">VLOOKUP(E19, $G:$H, 2, 0)</f>
        <v>-</v>
      </c>
    </row>
    <row r="20" customFormat="false" ht="14.25" hidden="false" customHeight="false" outlineLevel="0" collapsed="false">
      <c r="A20" s="0" t="n">
        <v>19</v>
      </c>
      <c r="B20" s="0" t="n">
        <v>68</v>
      </c>
      <c r="C20" s="0" t="n">
        <v>0</v>
      </c>
      <c r="D20" s="0" t="s">
        <v>3</v>
      </c>
      <c r="E20" s="0" t="s">
        <v>3</v>
      </c>
      <c r="G20" s="0" t="n">
        <v>19</v>
      </c>
      <c r="H20" s="0" t="n">
        <f aca="false">MAX(I20:K20) + B20</f>
        <v>68</v>
      </c>
      <c r="I20" s="0" t="str">
        <f aca="false">VLOOKUP(C20, $G:$H, 2, 0)</f>
        <v>-</v>
      </c>
      <c r="J20" s="0" t="str">
        <f aca="false">VLOOKUP(D20, $G:$H, 2, 0)</f>
        <v>-</v>
      </c>
      <c r="K20" s="0" t="str">
        <f aca="false">VLOOKUP(E20, $G:$H, 2, 0)</f>
        <v>-</v>
      </c>
    </row>
    <row r="21" customFormat="false" ht="14.25" hidden="false" customHeight="false" outlineLevel="0" collapsed="false">
      <c r="G21" s="0" t="n">
        <v>0</v>
      </c>
      <c r="H21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2023-05-09T08:17:02Z</dcterms:created>
  <dc:creator>User</dc:creator>
  <dc:description/>
  <dc:language>ru-RU</dc:language>
  <cp:lastModifiedBy/>
  <dcterms:modified xsi:type="dcterms:W3CDTF">2026-04-07T16:40:17Z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