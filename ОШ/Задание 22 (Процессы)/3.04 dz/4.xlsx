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<sst xmlns="http://schemas.openxmlformats.org/spreadsheetml/2006/main" count="51" uniqueCount="5">
  <si>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</si>
  <si>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</si>
  <si>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</si>
  <si>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0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</si>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</sst>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F1" colorId="64" zoomScale="140" zoomScaleNormal="140" zoomScalePageLayoutView="100" workbookViewId="0">
      <selection pane="topLeft" activeCell="I3" activeCellId="0" sqref="I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0" width="16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H1" s="0" t="s">
        <v>0</v>
      </c>
      <c r="N1" s="1" t="n">
        <f aca="false">COUNTIF(I2:I19, "&lt;=2500")</f>
        <v>16</v>
      </c>
    </row>
    <row r="2" customFormat="false" ht="15" hidden="false" customHeight="false" outlineLevel="0" collapsed="false">
      <c r="A2" s="0" t="n">
        <v>1</v>
      </c>
      <c r="B2" s="0" t="n">
        <v>666</v>
      </c>
      <c r="C2" s="2" t="n">
        <v>0</v>
      </c>
      <c r="D2" s="0" t="s">
        <v>3</v>
      </c>
      <c r="E2" s="0" t="s">
        <v>3</v>
      </c>
      <c r="F2" s="0" t="s">
        <v>3</v>
      </c>
      <c r="H2" s="0" t="n">
        <v>1</v>
      </c>
      <c r="I2" s="0" t="n">
        <f aca="false">MIN(J2:M2) + B2</f>
        <v>666</v>
      </c>
      <c r="J2" s="0" t="str">
        <f aca="false">VLOOKUP(C2, $H:$I, 2, 0)</f>
        <v>-</v>
      </c>
      <c r="K2" s="0" t="str">
        <f aca="false">VLOOKUP(D2, $H:$I, 2, 0)</f>
        <v>-</v>
      </c>
      <c r="L2" s="0" t="str">
        <f aca="false">VLOOKUP(E2, $H:$I, 2, 0)</f>
        <v>-</v>
      </c>
      <c r="M2" s="0" t="str">
        <f aca="false">VLOOKUP(F2, $H:$I, 2, 0)</f>
        <v>-</v>
      </c>
    </row>
    <row r="3" customFormat="false" ht="15" hidden="false" customHeight="false" outlineLevel="0" collapsed="false">
      <c r="A3" s="0" t="n">
        <v>2</v>
      </c>
      <c r="B3" s="0" t="n">
        <v>798</v>
      </c>
      <c r="C3" s="2" t="n">
        <v>0</v>
      </c>
      <c r="D3" s="0" t="s">
        <v>3</v>
      </c>
      <c r="E3" s="0" t="s">
        <v>3</v>
      </c>
      <c r="F3" s="0" t="s">
        <v>3</v>
      </c>
      <c r="H3" s="0" t="n">
        <v>2</v>
      </c>
      <c r="I3" s="0" t="n">
        <f aca="false">MIN(J3:M3) + B3</f>
        <v>798</v>
      </c>
      <c r="J3" s="0" t="str">
        <f aca="false">VLOOKUP(C3, $H:$I, 2, 0)</f>
        <v>-</v>
      </c>
      <c r="K3" s="0" t="str">
        <f aca="false">VLOOKUP(D3, $H:$I, 2, 0)</f>
        <v>-</v>
      </c>
      <c r="L3" s="0" t="str">
        <f aca="false">VLOOKUP(E3, $H:$I, 2, 0)</f>
        <v>-</v>
      </c>
      <c r="M3" s="0" t="str">
        <f aca="false">VLOOKUP(F3, $H:$I, 2, 0)</f>
        <v>-</v>
      </c>
    </row>
    <row r="4" customFormat="false" ht="15" hidden="false" customHeight="false" outlineLevel="0" collapsed="false">
      <c r="A4" s="0" t="n">
        <v>3</v>
      </c>
      <c r="B4" s="0" t="n">
        <v>584</v>
      </c>
      <c r="C4" s="2" t="n">
        <v>7</v>
      </c>
      <c r="D4" s="0" t="s">
        <v>3</v>
      </c>
      <c r="E4" s="0" t="s">
        <v>3</v>
      </c>
      <c r="F4" s="0" t="s">
        <v>3</v>
      </c>
      <c r="H4" s="0" t="n">
        <v>3</v>
      </c>
      <c r="I4" s="0" t="n">
        <f aca="false">MIN(J4:M4) + B4</f>
        <v>2506</v>
      </c>
      <c r="J4" s="0" t="n">
        <f aca="false">VLOOKUP(C4, $H:$I, 2, 0)</f>
        <v>1922</v>
      </c>
      <c r="K4" s="0" t="str">
        <f aca="false">VLOOKUP(D4, $H:$I, 2, 0)</f>
        <v>-</v>
      </c>
      <c r="L4" s="0" t="str">
        <f aca="false">VLOOKUP(E4, $H:$I, 2, 0)</f>
        <v>-</v>
      </c>
      <c r="M4" s="0" t="str">
        <f aca="false">VLOOKUP(F4, $H:$I, 2, 0)</f>
        <v>-</v>
      </c>
    </row>
    <row r="5" customFormat="false" ht="15" hidden="false" customHeight="false" outlineLevel="0" collapsed="false">
      <c r="A5" s="0" t="n">
        <v>4</v>
      </c>
      <c r="B5" s="0" t="n">
        <v>847</v>
      </c>
      <c r="C5" s="2" t="n">
        <v>0</v>
      </c>
      <c r="D5" s="0" t="s">
        <v>3</v>
      </c>
      <c r="E5" s="0" t="s">
        <v>3</v>
      </c>
      <c r="F5" s="0" t="s">
        <v>3</v>
      </c>
      <c r="H5" s="0" t="n">
        <v>4</v>
      </c>
      <c r="I5" s="0" t="n">
        <f aca="false">MIN(J5:M5) + B5</f>
        <v>847</v>
      </c>
      <c r="J5" s="0" t="str">
        <f aca="false">VLOOKUP(C5, $H:$I, 2, 0)</f>
        <v>-</v>
      </c>
      <c r="K5" s="0" t="str">
        <f aca="false">VLOOKUP(D5, $H:$I, 2, 0)</f>
        <v>-</v>
      </c>
      <c r="L5" s="0" t="str">
        <f aca="false">VLOOKUP(E5, $H:$I, 2, 0)</f>
        <v>-</v>
      </c>
      <c r="M5" s="0" t="str">
        <f aca="false">VLOOKUP(F5, $H:$I, 2, 0)</f>
        <v>-</v>
      </c>
    </row>
    <row r="6" customFormat="false" ht="15" hidden="false" customHeight="false" outlineLevel="0" collapsed="false">
      <c r="A6" s="0" t="n">
        <v>5</v>
      </c>
      <c r="B6" s="0" t="n">
        <v>439</v>
      </c>
      <c r="C6" s="2" t="n">
        <v>2</v>
      </c>
      <c r="D6" s="0" t="s">
        <v>3</v>
      </c>
      <c r="E6" s="0" t="s">
        <v>3</v>
      </c>
      <c r="F6" s="0" t="s">
        <v>3</v>
      </c>
      <c r="H6" s="0" t="n">
        <v>5</v>
      </c>
      <c r="I6" s="0" t="n">
        <f aca="false">MIN(J6:M6) + B6</f>
        <v>1237</v>
      </c>
      <c r="J6" s="0" t="n">
        <f aca="false">VLOOKUP(C6, $H:$I, 2, 0)</f>
        <v>798</v>
      </c>
      <c r="K6" s="0" t="str">
        <f aca="false">VLOOKUP(D6, $H:$I, 2, 0)</f>
        <v>-</v>
      </c>
      <c r="L6" s="0" t="str">
        <f aca="false">VLOOKUP(E6, $H:$I, 2, 0)</f>
        <v>-</v>
      </c>
      <c r="M6" s="0" t="str">
        <f aca="false">VLOOKUP(F6, $H:$I, 2, 0)</f>
        <v>-</v>
      </c>
    </row>
    <row r="7" customFormat="false" ht="15" hidden="false" customHeight="false" outlineLevel="0" collapsed="false">
      <c r="A7" s="0" t="n">
        <v>6</v>
      </c>
      <c r="B7" s="0" t="n">
        <v>568</v>
      </c>
      <c r="C7" s="2" t="n">
        <v>5</v>
      </c>
      <c r="D7" s="0" t="n">
        <v>7</v>
      </c>
      <c r="E7" s="0" t="n">
        <v>8</v>
      </c>
      <c r="F7" s="0" t="n">
        <v>14</v>
      </c>
      <c r="H7" s="0" t="n">
        <v>6</v>
      </c>
      <c r="I7" s="0" t="n">
        <f aca="false">MIN(J7:M7) + B7</f>
        <v>1805</v>
      </c>
      <c r="J7" s="0" t="n">
        <f aca="false">VLOOKUP(C7, $H:$I, 2, 0)</f>
        <v>1237</v>
      </c>
      <c r="K7" s="0" t="n">
        <f aca="false">VLOOKUP(D7, $H:$I, 2, 0)</f>
        <v>1922</v>
      </c>
      <c r="L7" s="0" t="n">
        <f aca="false">VLOOKUP(E7, $H:$I, 2, 0)</f>
        <v>1301</v>
      </c>
      <c r="M7" s="0" t="n">
        <f aca="false">VLOOKUP(F7, $H:$I, 2, 0)</f>
        <v>2122</v>
      </c>
    </row>
    <row r="8" customFormat="false" ht="15" hidden="false" customHeight="false" outlineLevel="0" collapsed="false">
      <c r="A8" s="0" t="n">
        <v>7</v>
      </c>
      <c r="B8" s="0" t="n">
        <v>685</v>
      </c>
      <c r="C8" s="2" t="n">
        <v>5</v>
      </c>
      <c r="D8" s="0" t="s">
        <v>3</v>
      </c>
      <c r="E8" s="0" t="s">
        <v>3</v>
      </c>
      <c r="F8" s="0" t="s">
        <v>3</v>
      </c>
      <c r="H8" s="0" t="n">
        <v>7</v>
      </c>
      <c r="I8" s="0" t="n">
        <f aca="false">MIN(J8:M8) + B8</f>
        <v>1922</v>
      </c>
      <c r="J8" s="0" t="n">
        <f aca="false">VLOOKUP(C8, $H:$I, 2, 0)</f>
        <v>1237</v>
      </c>
      <c r="K8" s="0" t="str">
        <f aca="false">VLOOKUP(D8, $H:$I, 2, 0)</f>
        <v>-</v>
      </c>
      <c r="L8" s="0" t="str">
        <f aca="false">VLOOKUP(E8, $H:$I, 2, 0)</f>
        <v>-</v>
      </c>
      <c r="M8" s="0" t="str">
        <f aca="false">VLOOKUP(F8, $H:$I, 2, 0)</f>
        <v>-</v>
      </c>
    </row>
    <row r="9" customFormat="false" ht="15" hidden="false" customHeight="false" outlineLevel="0" collapsed="false">
      <c r="A9" s="0" t="n">
        <v>8</v>
      </c>
      <c r="B9" s="0" t="n">
        <v>635</v>
      </c>
      <c r="C9" s="2" t="n">
        <v>1</v>
      </c>
      <c r="D9" s="0" t="s">
        <v>3</v>
      </c>
      <c r="E9" s="0" t="s">
        <v>3</v>
      </c>
      <c r="F9" s="0" t="s">
        <v>3</v>
      </c>
      <c r="H9" s="0" t="n">
        <v>8</v>
      </c>
      <c r="I9" s="0" t="n">
        <f aca="false">MIN(J9:M9) + B9</f>
        <v>1301</v>
      </c>
      <c r="J9" s="0" t="n">
        <f aca="false">VLOOKUP(C9, $H:$I, 2, 0)</f>
        <v>666</v>
      </c>
      <c r="K9" s="0" t="str">
        <f aca="false">VLOOKUP(D9, $H:$I, 2, 0)</f>
        <v>-</v>
      </c>
      <c r="L9" s="0" t="str">
        <f aca="false">VLOOKUP(E9, $H:$I, 2, 0)</f>
        <v>-</v>
      </c>
      <c r="M9" s="0" t="str">
        <f aca="false">VLOOKUP(F9, $H:$I, 2, 0)</f>
        <v>-</v>
      </c>
    </row>
    <row r="10" customFormat="false" ht="15" hidden="false" customHeight="false" outlineLevel="0" collapsed="false">
      <c r="A10" s="0" t="n">
        <v>9</v>
      </c>
      <c r="B10" s="0" t="n">
        <v>409</v>
      </c>
      <c r="C10" s="2" t="n">
        <v>3</v>
      </c>
      <c r="D10" s="0" t="n">
        <v>4</v>
      </c>
      <c r="E10" s="0" t="s">
        <v>3</v>
      </c>
      <c r="F10" s="0" t="s">
        <v>3</v>
      </c>
      <c r="H10" s="0" t="n">
        <v>9</v>
      </c>
      <c r="I10" s="0" t="n">
        <f aca="false">MIN(J10:M10) + B10</f>
        <v>1256</v>
      </c>
      <c r="J10" s="0" t="n">
        <f aca="false">VLOOKUP(C10, $H:$I, 2, 0)</f>
        <v>2506</v>
      </c>
      <c r="K10" s="0" t="n">
        <f aca="false">VLOOKUP(D10, $H:$I, 2, 0)</f>
        <v>847</v>
      </c>
      <c r="L10" s="0" t="str">
        <f aca="false">VLOOKUP(E10, $H:$I, 2, 0)</f>
        <v>-</v>
      </c>
      <c r="M10" s="0" t="str">
        <f aca="false">VLOOKUP(F10, $H:$I, 2, 0)</f>
        <v>-</v>
      </c>
    </row>
    <row r="11" customFormat="false" ht="15" hidden="false" customHeight="false" outlineLevel="0" collapsed="false">
      <c r="A11" s="0" t="n">
        <v>10</v>
      </c>
      <c r="B11" s="0" t="n">
        <v>626</v>
      </c>
      <c r="C11" s="2" t="n">
        <v>7</v>
      </c>
      <c r="D11" s="0" t="s">
        <v>3</v>
      </c>
      <c r="E11" s="0" t="s">
        <v>3</v>
      </c>
      <c r="F11" s="0" t="s">
        <v>3</v>
      </c>
      <c r="H11" s="0" t="n">
        <v>10</v>
      </c>
      <c r="I11" s="0" t="n">
        <f aca="false">MIN(J11:M11) + B11</f>
        <v>2548</v>
      </c>
      <c r="J11" s="0" t="n">
        <f aca="false">VLOOKUP(C11, $H:$I, 2, 0)</f>
        <v>1922</v>
      </c>
      <c r="K11" s="0" t="str">
        <f aca="false">VLOOKUP(D11, $H:$I, 2, 0)</f>
        <v>-</v>
      </c>
      <c r="L11" s="0" t="str">
        <f aca="false">VLOOKUP(E11, $H:$I, 2, 0)</f>
        <v>-</v>
      </c>
      <c r="M11" s="0" t="str">
        <f aca="false">VLOOKUP(F11, $H:$I, 2, 0)</f>
        <v>-</v>
      </c>
    </row>
    <row r="12" customFormat="false" ht="15" hidden="false" customHeight="false" outlineLevel="0" collapsed="false">
      <c r="A12" s="0" t="n">
        <v>11</v>
      </c>
      <c r="B12" s="0" t="n">
        <v>548</v>
      </c>
      <c r="C12" s="2" t="n">
        <v>9</v>
      </c>
      <c r="D12" s="0" t="s">
        <v>3</v>
      </c>
      <c r="E12" s="0" t="s">
        <v>3</v>
      </c>
      <c r="F12" s="0" t="s">
        <v>3</v>
      </c>
      <c r="H12" s="0" t="n">
        <v>11</v>
      </c>
      <c r="I12" s="0" t="n">
        <f aca="false">MIN(J12:M12) + B12</f>
        <v>1804</v>
      </c>
      <c r="J12" s="0" t="n">
        <f aca="false">VLOOKUP(C12, $H:$I, 2, 0)</f>
        <v>1256</v>
      </c>
      <c r="K12" s="0" t="str">
        <f aca="false">VLOOKUP(D12, $H:$I, 2, 0)</f>
        <v>-</v>
      </c>
      <c r="L12" s="0" t="str">
        <f aca="false">VLOOKUP(E12, $H:$I, 2, 0)</f>
        <v>-</v>
      </c>
      <c r="M12" s="0" t="str">
        <f aca="false">VLOOKUP(F12, $H:$I, 2, 0)</f>
        <v>-</v>
      </c>
    </row>
    <row r="13" customFormat="false" ht="15" hidden="false" customHeight="false" outlineLevel="0" collapsed="false">
      <c r="A13" s="0" t="n">
        <v>12</v>
      </c>
      <c r="B13" s="0" t="n">
        <v>460</v>
      </c>
      <c r="C13" s="2" t="n">
        <v>0</v>
      </c>
      <c r="D13" s="0" t="s">
        <v>3</v>
      </c>
      <c r="E13" s="0" t="s">
        <v>3</v>
      </c>
      <c r="F13" s="0" t="s">
        <v>3</v>
      </c>
      <c r="H13" s="0" t="n">
        <v>12</v>
      </c>
      <c r="I13" s="0" t="n">
        <f aca="false">MIN(J13:M13) + B13</f>
        <v>460</v>
      </c>
      <c r="J13" s="0" t="str">
        <f aca="false">VLOOKUP(C13, $H:$I, 2, 0)</f>
        <v>-</v>
      </c>
      <c r="K13" s="0" t="str">
        <f aca="false">VLOOKUP(D13, $H:$I, 2, 0)</f>
        <v>-</v>
      </c>
      <c r="L13" s="0" t="str">
        <f aca="false">VLOOKUP(E13, $H:$I, 2, 0)</f>
        <v>-</v>
      </c>
      <c r="M13" s="0" t="str">
        <f aca="false">VLOOKUP(F13, $H:$I, 2, 0)</f>
        <v>-</v>
      </c>
    </row>
    <row r="14" customFormat="false" ht="15" hidden="false" customHeight="false" outlineLevel="0" collapsed="false">
      <c r="A14" s="0" t="n">
        <v>13</v>
      </c>
      <c r="B14" s="0" t="n">
        <v>276</v>
      </c>
      <c r="C14" s="2" t="n">
        <v>10</v>
      </c>
      <c r="D14" s="0" t="n">
        <v>12</v>
      </c>
      <c r="E14" s="0" t="s">
        <v>3</v>
      </c>
      <c r="F14" s="0" t="s">
        <v>3</v>
      </c>
      <c r="H14" s="0" t="n">
        <v>13</v>
      </c>
      <c r="I14" s="0" t="n">
        <f aca="false">MIN(J14:M14) + B14</f>
        <v>736</v>
      </c>
      <c r="J14" s="0" t="n">
        <f aca="false">VLOOKUP(C14, $H:$I, 2, 0)</f>
        <v>2548</v>
      </c>
      <c r="K14" s="0" t="n">
        <f aca="false">VLOOKUP(D14, $H:$I, 2, 0)</f>
        <v>460</v>
      </c>
      <c r="L14" s="0" t="str">
        <f aca="false">VLOOKUP(E14, $H:$I, 2, 0)</f>
        <v>-</v>
      </c>
      <c r="M14" s="0" t="str">
        <f aca="false">VLOOKUP(F14, $H:$I, 2, 0)</f>
        <v>-</v>
      </c>
    </row>
    <row r="15" customFormat="false" ht="15" hidden="false" customHeight="false" outlineLevel="0" collapsed="false">
      <c r="A15" s="0" t="n">
        <v>14</v>
      </c>
      <c r="B15" s="0" t="n">
        <v>448</v>
      </c>
      <c r="C15" s="2" t="n">
        <v>11</v>
      </c>
      <c r="D15" s="0" t="n">
        <v>15</v>
      </c>
      <c r="E15" s="0" t="s">
        <v>3</v>
      </c>
      <c r="F15" s="0" t="s">
        <v>3</v>
      </c>
      <c r="H15" s="0" t="n">
        <v>14</v>
      </c>
      <c r="I15" s="0" t="n">
        <f aca="false">MIN(J15:M15) + B15</f>
        <v>2122</v>
      </c>
      <c r="J15" s="0" t="n">
        <f aca="false">VLOOKUP(C15, $H:$I, 2, 0)</f>
        <v>1804</v>
      </c>
      <c r="K15" s="0" t="n">
        <f aca="false">VLOOKUP(D15, $H:$I, 2, 0)</f>
        <v>1674</v>
      </c>
      <c r="L15" s="0" t="str">
        <f aca="false">VLOOKUP(E15, $H:$I, 2, 0)</f>
        <v>-</v>
      </c>
      <c r="M15" s="0" t="str">
        <f aca="false">VLOOKUP(F15, $H:$I, 2, 0)</f>
        <v>-</v>
      </c>
    </row>
    <row r="16" customFormat="false" ht="15" hidden="false" customHeight="false" outlineLevel="0" collapsed="false">
      <c r="A16" s="0" t="n">
        <v>15</v>
      </c>
      <c r="B16" s="0" t="n">
        <v>418</v>
      </c>
      <c r="C16" s="2" t="n">
        <v>9</v>
      </c>
      <c r="D16" s="0" t="s">
        <v>3</v>
      </c>
      <c r="E16" s="0" t="s">
        <v>3</v>
      </c>
      <c r="F16" s="0" t="s">
        <v>3</v>
      </c>
      <c r="H16" s="0" t="n">
        <v>15</v>
      </c>
      <c r="I16" s="0" t="n">
        <f aca="false">MIN(J16:M16) + B16</f>
        <v>1674</v>
      </c>
      <c r="J16" s="0" t="n">
        <f aca="false">VLOOKUP(C16, $H:$I, 2, 0)</f>
        <v>1256</v>
      </c>
      <c r="K16" s="0" t="str">
        <f aca="false">VLOOKUP(D16, $H:$I, 2, 0)</f>
        <v>-</v>
      </c>
      <c r="L16" s="0" t="str">
        <f aca="false">VLOOKUP(E16, $H:$I, 2, 0)</f>
        <v>-</v>
      </c>
      <c r="M16" s="0" t="str">
        <f aca="false">VLOOKUP(F16, $H:$I, 2, 0)</f>
        <v>-</v>
      </c>
    </row>
    <row r="17" customFormat="false" ht="15" hidden="false" customHeight="false" outlineLevel="0" collapsed="false">
      <c r="A17" s="0" t="n">
        <v>16</v>
      </c>
      <c r="B17" s="0" t="n">
        <v>490</v>
      </c>
      <c r="C17" s="2" t="n">
        <v>14</v>
      </c>
      <c r="D17" s="0" t="n">
        <v>17</v>
      </c>
      <c r="E17" s="0" t="s">
        <v>3</v>
      </c>
      <c r="F17" s="0" t="s">
        <v>3</v>
      </c>
      <c r="H17" s="0" t="n">
        <v>16</v>
      </c>
      <c r="I17" s="0" t="n">
        <f aca="false">MIN(J17:M17) + B17</f>
        <v>1699</v>
      </c>
      <c r="J17" s="0" t="n">
        <f aca="false">VLOOKUP(C17, $H:$I, 2, 0)</f>
        <v>2122</v>
      </c>
      <c r="K17" s="0" t="n">
        <f aca="false">VLOOKUP(D17, $H:$I, 2, 0)</f>
        <v>1209</v>
      </c>
      <c r="L17" s="0" t="str">
        <f aca="false">VLOOKUP(E17, $H:$I, 2, 0)</f>
        <v>-</v>
      </c>
      <c r="M17" s="0" t="str">
        <f aca="false">VLOOKUP(F17, $H:$I, 2, 0)</f>
        <v>-</v>
      </c>
    </row>
    <row r="18" customFormat="false" ht="15" hidden="false" customHeight="false" outlineLevel="0" collapsed="false">
      <c r="A18" s="0" t="n">
        <v>17</v>
      </c>
      <c r="B18" s="0" t="n">
        <v>473</v>
      </c>
      <c r="C18" s="2" t="n">
        <v>13</v>
      </c>
      <c r="D18" s="0" t="n">
        <v>14</v>
      </c>
      <c r="E18" s="0" t="s">
        <v>3</v>
      </c>
      <c r="F18" s="0" t="s">
        <v>3</v>
      </c>
      <c r="H18" s="0" t="n">
        <v>17</v>
      </c>
      <c r="I18" s="0" t="n">
        <f aca="false">MIN(J18:M18) + B18</f>
        <v>1209</v>
      </c>
      <c r="J18" s="0" t="n">
        <f aca="false">VLOOKUP(C18, $H:$I, 2, 0)</f>
        <v>736</v>
      </c>
      <c r="K18" s="0" t="n">
        <f aca="false">VLOOKUP(D18, $H:$I, 2, 0)</f>
        <v>2122</v>
      </c>
      <c r="L18" s="0" t="str">
        <f aca="false">VLOOKUP(E18, $H:$I, 2, 0)</f>
        <v>-</v>
      </c>
      <c r="M18" s="0" t="str">
        <f aca="false">VLOOKUP(F18, $H:$I, 2, 0)</f>
        <v>-</v>
      </c>
    </row>
    <row r="19" customFormat="false" ht="15" hidden="false" customHeight="false" outlineLevel="0" collapsed="false">
      <c r="A19" s="0" t="n">
        <v>18</v>
      </c>
      <c r="B19" s="0" t="n">
        <v>800</v>
      </c>
      <c r="C19" s="2" t="n">
        <v>13</v>
      </c>
      <c r="D19" s="0" t="s">
        <v>3</v>
      </c>
      <c r="E19" s="0" t="s">
        <v>3</v>
      </c>
      <c r="F19" s="0" t="s">
        <v>3</v>
      </c>
      <c r="H19" s="0" t="n">
        <v>18</v>
      </c>
      <c r="I19" s="0" t="n">
        <f aca="false">MIN(J19:M19) + B19</f>
        <v>1536</v>
      </c>
      <c r="J19" s="0" t="n">
        <f aca="false">VLOOKUP(C19, $H:$I, 2, 0)</f>
        <v>736</v>
      </c>
      <c r="K19" s="0" t="str">
        <f aca="false">VLOOKUP(D19, $H:$I, 2, 0)</f>
        <v>-</v>
      </c>
      <c r="L19" s="0" t="str">
        <f aca="false">VLOOKUP(E19, $H:$I, 2, 0)</f>
        <v>-</v>
      </c>
      <c r="M19" s="0" t="str">
        <f aca="false">VLOOKUP(F19, $H:$I, 2, 0)</f>
        <v>-</v>
      </c>
    </row>
    <row r="20" customFormat="false" ht="15" hidden="false" customHeight="false" outlineLevel="0" collapsed="false">
      <c r="H20" s="0" t="n">
        <v>0</v>
      </c>
      <c r="I20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2026-04-07T16:15:10Z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